
<file path=[Content_Types].xml><?xml version="1.0" encoding="utf-8"?>
<Types xmlns="http://schemas.openxmlformats.org/package/2006/content-types">
  <Default Extension="bin" ContentType="application/vnd.openxmlformats-officedocument.spreadsheetml.printerSettings"/>
  <Default Extension="tmp" ContentType="image/png"/>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Hase\Downloads\"/>
    </mc:Choice>
  </mc:AlternateContent>
  <bookViews>
    <workbookView xWindow="0" yWindow="0" windowWidth="16815" windowHeight="7650"/>
  </bookViews>
  <sheets>
    <sheet name="Score" sheetId="4" r:id="rId1"/>
    <sheet name="Formulas" sheetId="5" state="hidden" r:id="rId2"/>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51" i="4" l="1"/>
  <c r="C43" i="4" l="1"/>
  <c r="C72" i="4" l="1"/>
  <c r="C12" i="4"/>
  <c r="C81" i="4"/>
  <c r="C77" i="4"/>
  <c r="C67" i="4"/>
  <c r="C62" i="4"/>
  <c r="C57" i="4"/>
  <c r="D2" i="4" s="1"/>
  <c r="D50" i="4"/>
  <c r="D49" i="4"/>
  <c r="C38" i="4"/>
  <c r="C22" i="4"/>
  <c r="D33" i="4"/>
  <c r="D32" i="4"/>
  <c r="D31" i="4"/>
  <c r="D29" i="4"/>
  <c r="D28" i="4"/>
  <c r="C17" i="4"/>
</calcChain>
</file>

<file path=xl/sharedStrings.xml><?xml version="1.0" encoding="utf-8"?>
<sst xmlns="http://schemas.openxmlformats.org/spreadsheetml/2006/main" count="71" uniqueCount="65">
  <si>
    <t>Using Recycled Material</t>
  </si>
  <si>
    <t>Green Bins containing at least one matching Yellow or Blue Bar, all from the other team, is completely in your Safety.</t>
  </si>
  <si>
    <t>Methane</t>
  </si>
  <si>
    <t>Methane is in the Truck’s engine compartment, and/or the Factory’s Power Station.</t>
  </si>
  <si>
    <t xml:space="preserve">The Truck supports all of the Yellow Bin’s weight.  AND/OR Yellow Bin is completely east of the Truck’s Guide. </t>
  </si>
  <si>
    <t>Both</t>
  </si>
  <si>
    <t>None</t>
  </si>
  <si>
    <t>Transport</t>
  </si>
  <si>
    <t>Sorting</t>
  </si>
  <si>
    <t>See "Using Recycled Material"</t>
  </si>
  <si>
    <t># of Yellow/Blue bars in their matching green bin AND the bin…</t>
  </si>
  <si>
    <t># of black bars that are…</t>
  </si>
  <si>
    <t>In their matching green bin OR in the landfill bin</t>
  </si>
  <si>
    <t>Anywhere else</t>
  </si>
  <si>
    <t>Careers</t>
  </si>
  <si>
    <t>Truck supports weight.</t>
  </si>
  <si>
    <t>Yellow Bin east of guide.</t>
  </si>
  <si>
    <t>Yes</t>
  </si>
  <si>
    <t>No</t>
  </si>
  <si>
    <t>Scrap Cars</t>
  </si>
  <si>
    <t>The Engine/Windshield unit is installed in the unfolded Car in the proper space and direction. OR The Car is completely folded and completely in the East Transfer Area.</t>
  </si>
  <si>
    <t>Car is folded and in east transfer</t>
  </si>
  <si>
    <t>Cleanup</t>
  </si>
  <si>
    <t>(See Below)</t>
  </si>
  <si>
    <t>Select one</t>
  </si>
  <si>
    <t>Composting</t>
  </si>
  <si>
    <t>The Compost is ejected, but not completely in Safety or the Compost is completely in Safety.</t>
  </si>
  <si>
    <t>Ejected</t>
  </si>
  <si>
    <t>Ejected + In Safety</t>
  </si>
  <si>
    <t>Salvage</t>
  </si>
  <si>
    <t>The Valuables are completely in Safety.</t>
  </si>
  <si>
    <t>None of the Building’s twelve beams is left standing in Setup position.</t>
  </si>
  <si>
    <t>Demolition</t>
  </si>
  <si>
    <t>Repurposing</t>
  </si>
  <si>
    <t>The Compost is perfectly nested inside one of the Packages from which a Toy Plane has been removed.  The Package is in original condition.</t>
  </si>
  <si>
    <t>Total Score:</t>
  </si>
  <si>
    <t>Purchasing Decisions</t>
  </si>
  <si>
    <t>Toy Planes are completely in Safety</t>
  </si>
  <si>
    <t>Penalties</t>
  </si>
  <si>
    <t>(Described in rule D09)</t>
  </si>
  <si>
    <t>Directly inside of a scoring Flower Box OR in the setup position</t>
  </si>
  <si>
    <t>At least one person is completely in the sorter area</t>
  </si>
  <si>
    <t>Good luck!  Please read the rules! If you have any questions or suggestions, email Jared at jhasenklein@gmail.com.</t>
  </si>
  <si>
    <t>FIRST®, FIRST® Robotics Competition, FRC®, FIRST® Tech Challenge, and FTC®, are registered trademarks of FIRST® (www.usfirst.org) which is not overseeing, involved with, or responsible for this activity, product, or service. </t>
  </si>
  <si>
    <t>FLL® and Jr.FLL® are jointly held trademarks of FIRST® (www.usfirst.org) and The LEGO Group, neither of which is overseeing, involved with, or responsible for this activity, product, or service. </t>
  </si>
  <si>
    <t>LEGO®, the LEGO® logo, MINDSTORMS®, the MINDSTORMS® NXT logo, the Minifigure, and the Brick and Knob configurations are trademarks of The LEGO Group which is not overseeing, involved with, or responsible for this activity, product, or service.</t>
  </si>
  <si>
    <t>Engine/Windshield installed</t>
  </si>
  <si>
    <t>Number of bins in either safety</t>
  </si>
  <si>
    <t>(maximum 4 — 2 from each team)</t>
  </si>
  <si>
    <t>Number of methane placed</t>
  </si>
  <si>
    <t>Yes or No?</t>
  </si>
  <si>
    <t># of plastic bags are completely in safety</t>
  </si>
  <si>
    <t># of animals in large circles, without plastic bags</t>
  </si>
  <si>
    <t>Is the chicken in the small circle?</t>
  </si>
  <si>
    <t>Get Google Sheets Version</t>
  </si>
  <si>
    <t>Sign up for updates</t>
  </si>
  <si>
    <t>How many planes are in safety?</t>
  </si>
  <si>
    <t>How many? Maximum 4.</t>
  </si>
  <si>
    <t>Note that points will also be taken off for black bars left anywhere on the board per the "Sorting" mission. This means that you should not count penalties in both places. Once the official score card is released from FIRST, this may be removed.</t>
  </si>
  <si>
    <r>
      <t xml:space="preserve">Is in the other team's safety, by way of </t>
    </r>
    <r>
      <rPr>
        <u/>
        <sz val="11"/>
        <color theme="1"/>
        <rFont val="Calibri"/>
        <family val="2"/>
        <scheme val="minor"/>
      </rPr>
      <t>west</t>
    </r>
    <r>
      <rPr>
        <sz val="11"/>
        <color theme="1"/>
        <rFont val="Calibri"/>
        <family val="2"/>
        <scheme val="minor"/>
      </rPr>
      <t xml:space="preserve"> transfer</t>
    </r>
  </si>
  <si>
    <r>
      <t xml:space="preserve">Is in or on your </t>
    </r>
    <r>
      <rPr>
        <u/>
        <sz val="11"/>
        <color theme="1"/>
        <rFont val="Calibri"/>
        <family val="2"/>
        <scheme val="minor"/>
      </rPr>
      <t>west</t>
    </r>
    <r>
      <rPr>
        <sz val="11"/>
        <color theme="1"/>
        <rFont val="Calibri"/>
        <family val="2"/>
        <scheme val="minor"/>
      </rPr>
      <t xml:space="preserve"> transfer</t>
    </r>
  </si>
  <si>
    <r>
      <t xml:space="preserve">Was never in your </t>
    </r>
    <r>
      <rPr>
        <u/>
        <sz val="11"/>
        <color theme="1"/>
        <rFont val="Calibri"/>
        <family val="2"/>
        <scheme val="minor"/>
      </rPr>
      <t>west</t>
    </r>
    <r>
      <rPr>
        <sz val="11"/>
        <color theme="1"/>
        <rFont val="Calibri"/>
        <family val="2"/>
        <scheme val="minor"/>
      </rPr>
      <t xml:space="preserve"> transfer area</t>
    </r>
  </si>
  <si>
    <t>Thank you to the following people who helped with updates: Marcus B, Austin S, Mark M, Marco C, Wayne R, Carla S, and Sean G!</t>
  </si>
  <si>
    <t>OCTOBER PDF Score Sheet for practice rounds</t>
  </si>
  <si>
    <t>SEPTEMBER PDF Score Sheet for practice rounds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</si>
</sst>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i/>
      <sz val="11"/>
      <color theme="1"/>
      <name val="Calibri"/>
      <family val="2"/>
      <scheme val="minor"/>
    </font>
    <font>
      <sz val="14"/>
      <color theme="1"/>
      <name val="Calibri"/>
      <family val="2"/>
      <scheme val="minor"/>
    </font>
    <font>
      <b/>
      <sz val="13.5"/>
      <color theme="1"/>
      <name val="Calibri"/>
      <family val="2"/>
      <scheme val="minor"/>
    </font>
    <font>
      <sz val="13.5"/>
      <color theme="1"/>
      <name val="Calibri"/>
      <family val="2"/>
      <scheme val="minor"/>
    </font>
    <font>
      <sz val="18"/>
      <color theme="1"/>
      <name val="Calibri"/>
      <family val="2"/>
      <scheme val="minor"/>
    </font>
    <font>
      <sz val="28"/>
      <color theme="1"/>
      <name val="Calibri"/>
      <family val="2"/>
      <scheme val="minor"/>
    </font>
    <font>
      <i/>
      <sz val="10"/>
      <color theme="1"/>
      <name val="Calibri"/>
      <family val="2"/>
    </font>
    <font>
      <i/>
      <sz val="10"/>
      <color rgb="FF000000"/>
      <name val="Calibri"/>
      <family val="2"/>
    </font>
    <font>
      <sz val="11"/>
      <color theme="1"/>
      <name val="Arial"/>
      <family val="2"/>
    </font>
    <font>
      <b/>
      <sz val="12"/>
      <color rgb="FF0000FF"/>
      <name val="Arial"/>
      <family val="2"/>
    </font>
    <font>
      <u/>
      <sz val="11"/>
      <color theme="10"/>
      <name val="Calibri"/>
      <family val="2"/>
      <scheme val="minor"/>
    </font>
    <font>
      <sz val="10"/>
      <color theme="1"/>
      <name val="Arial"/>
      <family val="2"/>
    </font>
    <font>
      <u/>
      <sz val="11"/>
      <color theme="1"/>
      <name val="Calibri"/>
      <family val="2"/>
      <scheme val="minor"/>
    </font>
    <font>
      <b/>
      <sz val="12.1"/>
      <color theme="1"/>
      <name val="Calibri"/>
      <family val="2"/>
      <scheme val="minor"/>
    </font>
  </fonts>
  <fills count="4">
    <fill>
      <patternFill patternType="none"/>
    </fill>
    <fill>
      <patternFill patternType="gray125"/>
    </fill>
    <fill>
      <patternFill patternType="solid">
        <fgColor rgb="FF0070C0"/>
        <bgColor indexed="64"/>
      </patternFill>
    </fill>
    <fill>
      <patternFill patternType="solid">
        <fgColor rgb="FFF88497"/>
        <bgColor indexed="64"/>
      </patternFill>
    </fill>
  </fills>
  <borders count="1">
    <border>
      <left/>
      <right/>
      <top/>
      <bottom/>
      <diagonal/>
    </border>
  </borders>
  <cellStyleXfs count="2">
    <xf numFmtId="0" fontId="0" fillId="0" borderId="0"/>
    <xf numFmtId="0" fontId="11" fillId="0" borderId="0" applyNumberFormat="0" applyFill="0" applyBorder="0" applyAlignment="0" applyProtection="0"/>
  </cellStyleXfs>
  <cellXfs count="28">
    <xf numFmtId="0" fontId="0" fillId="0" borderId="0" xfId="0"/>
    <xf numFmtId="0" fontId="0" fillId="0" borderId="0" xfId="0" applyAlignment="1">
      <alignment wrapText="1"/>
    </xf>
    <xf numFmtId="0" fontId="0" fillId="3" borderId="0" xfId="0" applyFill="1"/>
    <xf numFmtId="0" fontId="0" fillId="0" borderId="0" xfId="0" applyFill="1" applyAlignment="1">
      <alignment wrapText="1"/>
    </xf>
    <xf numFmtId="0" fontId="0" fillId="3" borderId="0" xfId="0" applyFont="1" applyFill="1" applyAlignment="1"/>
    <xf numFmtId="0" fontId="1" fillId="0" borderId="0" xfId="0" applyFont="1" applyAlignment="1">
      <alignment horizontal="left"/>
    </xf>
    <xf numFmtId="0" fontId="3" fillId="0" borderId="0" xfId="0" applyFont="1" applyAlignment="1">
      <alignment wrapText="1"/>
    </xf>
    <xf numFmtId="0" fontId="4" fillId="0" borderId="0" xfId="0" applyFont="1" applyAlignment="1">
      <alignment wrapText="1"/>
    </xf>
    <xf numFmtId="0" fontId="0" fillId="0" borderId="0" xfId="0" applyFont="1" applyAlignment="1">
      <alignment horizontal="left"/>
    </xf>
    <xf numFmtId="0" fontId="0" fillId="0" borderId="0" xfId="0" applyFont="1" applyAlignment="1">
      <alignment horizontal="left" wrapText="1"/>
    </xf>
    <xf numFmtId="0" fontId="0" fillId="3" borderId="0" xfId="0" applyFill="1" applyAlignment="1">
      <alignment horizontal="right" wrapText="1"/>
    </xf>
    <xf numFmtId="0" fontId="0" fillId="0" borderId="0" xfId="0" applyAlignment="1">
      <alignment horizontal="right" wrapText="1"/>
    </xf>
    <xf numFmtId="0" fontId="0" fillId="3" borderId="0" xfId="0" applyFill="1" applyAlignment="1">
      <alignment horizontal="right"/>
    </xf>
    <xf numFmtId="0" fontId="0" fillId="3" borderId="0" xfId="0" applyFill="1" applyAlignment="1" applyProtection="1">
      <alignment horizontal="right" wrapText="1"/>
    </xf>
    <xf numFmtId="0" fontId="0" fillId="2" borderId="0" xfId="0" applyFill="1" applyAlignment="1" applyProtection="1">
      <alignment wrapText="1"/>
      <protection locked="0"/>
    </xf>
    <xf numFmtId="0" fontId="5" fillId="0" borderId="0" xfId="0" applyFont="1" applyAlignment="1">
      <alignment wrapText="1"/>
    </xf>
    <xf numFmtId="0" fontId="6" fillId="0" borderId="0" xfId="0" applyFont="1" applyAlignment="1">
      <alignment horizontal="center" vertical="center" wrapText="1"/>
    </xf>
    <xf numFmtId="0" fontId="0" fillId="0" borderId="0" xfId="0" applyBorder="1" applyAlignment="1"/>
    <xf numFmtId="0" fontId="2" fillId="0" borderId="0" xfId="0" applyFont="1" applyAlignment="1"/>
    <xf numFmtId="0" fontId="7" fillId="0" borderId="0" xfId="0" applyFont="1" applyAlignment="1">
      <alignment wrapText="1"/>
    </xf>
    <xf numFmtId="0" fontId="7" fillId="0" borderId="0" xfId="0" applyFont="1"/>
    <xf numFmtId="0" fontId="8" fillId="0" borderId="0" xfId="0" applyFont="1" applyAlignment="1">
      <alignment wrapText="1"/>
    </xf>
    <xf numFmtId="0" fontId="9" fillId="0" borderId="0" xfId="0" applyFont="1"/>
    <xf numFmtId="0" fontId="11" fillId="0" borderId="0" xfId="1" applyAlignment="1">
      <alignment wrapText="1"/>
    </xf>
    <xf numFmtId="0" fontId="11" fillId="0" borderId="0" xfId="1" applyAlignment="1"/>
    <xf numFmtId="0" fontId="12" fillId="0" borderId="0" xfId="0" applyFont="1" applyAlignment="1">
      <alignment wrapText="1"/>
    </xf>
    <xf numFmtId="0" fontId="0" fillId="3" borderId="0" xfId="0" applyFill="1" applyProtection="1">
      <protection hidden="1"/>
    </xf>
    <xf numFmtId="0" fontId="14" fillId="0" borderId="0" xfId="0" applyFont="1"/>
  </cellXfs>
  <cellStyles count="2">
    <cellStyle name="Hyperlink" xfId="1" builtinId="8"/>
    <cellStyle name="Normal" xfId="0" builtinId="0"/>
  </cellStyles>
  <dxfs count="0"/>
  <tableStyles count="0" defaultTableStyle="TableStyleMedium2" defaultPivotStyle="PivotStyleLight16"/>
  <colors>
    <mruColors>
      <color rgb="FFF8849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7.tmp"/><Relationship Id="rId13" Type="http://schemas.openxmlformats.org/officeDocument/2006/relationships/image" Target="../media/image12.tmp"/><Relationship Id="rId18" Type="http://schemas.openxmlformats.org/officeDocument/2006/relationships/image" Target="../media/image17.tmp"/><Relationship Id="rId3" Type="http://schemas.openxmlformats.org/officeDocument/2006/relationships/image" Target="../media/image2.tmp"/><Relationship Id="rId7" Type="http://schemas.openxmlformats.org/officeDocument/2006/relationships/image" Target="../media/image6.tmp"/><Relationship Id="rId12" Type="http://schemas.openxmlformats.org/officeDocument/2006/relationships/image" Target="../media/image11.tmp"/><Relationship Id="rId17" Type="http://schemas.openxmlformats.org/officeDocument/2006/relationships/image" Target="../media/image16.tmp"/><Relationship Id="rId2" Type="http://schemas.openxmlformats.org/officeDocument/2006/relationships/image" Target="../media/image1.tmp"/><Relationship Id="rId16" Type="http://schemas.openxmlformats.org/officeDocument/2006/relationships/image" Target="../media/image15.tmp"/><Relationship Id="rId1" Type="http://schemas.openxmlformats.org/officeDocument/2006/relationships/hyperlink" Target="HTTP://MILKENKNIGHTS.COM/FLL2015" TargetMode="External"/><Relationship Id="rId6" Type="http://schemas.openxmlformats.org/officeDocument/2006/relationships/image" Target="../media/image5.png"/><Relationship Id="rId11" Type="http://schemas.openxmlformats.org/officeDocument/2006/relationships/image" Target="../media/image10.tmp"/><Relationship Id="rId5" Type="http://schemas.openxmlformats.org/officeDocument/2006/relationships/image" Target="../media/image4.tmp"/><Relationship Id="rId15" Type="http://schemas.openxmlformats.org/officeDocument/2006/relationships/image" Target="../media/image14.tmp"/><Relationship Id="rId10" Type="http://schemas.openxmlformats.org/officeDocument/2006/relationships/image" Target="../media/image9.tmp"/><Relationship Id="rId19" Type="http://schemas.openxmlformats.org/officeDocument/2006/relationships/image" Target="../media/image18.png"/><Relationship Id="rId4" Type="http://schemas.openxmlformats.org/officeDocument/2006/relationships/image" Target="../media/image3.tmp"/><Relationship Id="rId9" Type="http://schemas.openxmlformats.org/officeDocument/2006/relationships/image" Target="../media/image8.tmp"/><Relationship Id="rId14" Type="http://schemas.openxmlformats.org/officeDocument/2006/relationships/image" Target="../media/image13.tmp"/></Relationships>
</file>

<file path=xl/drawings/drawing1.xml><?xml version="1.0" encoding="utf-8"?>
<xdr:wsDr xmlns:xdr="http://schemas.openxmlformats.org/drawingml/2006/spreadsheetDrawing" xmlns:a="http://schemas.openxmlformats.org/drawingml/2006/main">
  <xdr:twoCellAnchor>
    <xdr:from>
      <xdr:col>0</xdr:col>
      <xdr:colOff>114300</xdr:colOff>
      <xdr:row>1</xdr:row>
      <xdr:rowOff>19050</xdr:rowOff>
    </xdr:from>
    <xdr:to>
      <xdr:col>1</xdr:col>
      <xdr:colOff>1285874</xdr:colOff>
      <xdr:row>3</xdr:row>
      <xdr:rowOff>10584</xdr:rowOff>
    </xdr:to>
    <xdr:sp macro="" textlink="">
      <xdr:nvSpPr>
        <xdr:cNvPr id="2" name="TextBox 1">
          <a:hlinkClick xmlns:r="http://schemas.openxmlformats.org/officeDocument/2006/relationships" r:id="rId1"/>
        </xdr:cNvPr>
        <xdr:cNvSpPr txBox="1"/>
      </xdr:nvSpPr>
      <xdr:spPr>
        <a:xfrm>
          <a:off x="114300" y="209550"/>
          <a:ext cx="4113741" cy="7958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Type/Select values in BLUE areas. Do not edit the content of RED areas.</a:t>
          </a:r>
          <a:r>
            <a:rPr lang="en-US"/>
            <a:t>  Please </a:t>
          </a:r>
          <a:r>
            <a:rPr lang="en-US" u="sng"/>
            <a:t>READ ALL THE CONTENT ON MILKENKNIGHTS.COM/FLL2015</a:t>
          </a:r>
          <a:r>
            <a:rPr lang="en-US" u="sng" baseline="0"/>
            <a:t> BEFORE PROCEEDING</a:t>
          </a:r>
          <a:endParaRPr lang="en-US" sz="1100"/>
        </a:p>
      </xdr:txBody>
    </xdr:sp>
    <xdr:clientData/>
  </xdr:twoCellAnchor>
  <xdr:twoCellAnchor editAs="oneCell">
    <xdr:from>
      <xdr:col>3</xdr:col>
      <xdr:colOff>242889</xdr:colOff>
      <xdr:row>8</xdr:row>
      <xdr:rowOff>35721</xdr:rowOff>
    </xdr:from>
    <xdr:to>
      <xdr:col>6</xdr:col>
      <xdr:colOff>547689</xdr:colOff>
      <xdr:row>10</xdr:row>
      <xdr:rowOff>812179</xdr:rowOff>
    </xdr:to>
    <xdr:pic>
      <xdr:nvPicPr>
        <xdr:cNvPr id="3" name="Picture 2" descr="Screen Clipping"/>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31562"/>
        <a:stretch/>
      </xdr:blipFill>
      <xdr:spPr>
        <a:xfrm>
          <a:off x="5779295" y="3036096"/>
          <a:ext cx="2483644" cy="1228896"/>
        </a:xfrm>
        <a:prstGeom prst="rect">
          <a:avLst/>
        </a:prstGeom>
      </xdr:spPr>
    </xdr:pic>
    <xdr:clientData/>
  </xdr:twoCellAnchor>
  <xdr:twoCellAnchor editAs="oneCell">
    <xdr:from>
      <xdr:col>3</xdr:col>
      <xdr:colOff>342900</xdr:colOff>
      <xdr:row>14</xdr:row>
      <xdr:rowOff>180975</xdr:rowOff>
    </xdr:from>
    <xdr:to>
      <xdr:col>4</xdr:col>
      <xdr:colOff>407600</xdr:colOff>
      <xdr:row>17</xdr:row>
      <xdr:rowOff>47766</xdr:rowOff>
    </xdr:to>
    <xdr:pic>
      <xdr:nvPicPr>
        <xdr:cNvPr id="4" name="Picture 3" descr="Screen Clipping"/>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886450" y="4333875"/>
          <a:ext cx="1019317" cy="1009791"/>
        </a:xfrm>
        <a:prstGeom prst="rect">
          <a:avLst/>
        </a:prstGeom>
      </xdr:spPr>
    </xdr:pic>
    <xdr:clientData/>
  </xdr:twoCellAnchor>
  <xdr:twoCellAnchor editAs="oneCell">
    <xdr:from>
      <xdr:col>3</xdr:col>
      <xdr:colOff>190500</xdr:colOff>
      <xdr:row>20</xdr:row>
      <xdr:rowOff>495300</xdr:rowOff>
    </xdr:from>
    <xdr:to>
      <xdr:col>4</xdr:col>
      <xdr:colOff>136651</xdr:colOff>
      <xdr:row>23</xdr:row>
      <xdr:rowOff>84770</xdr:rowOff>
    </xdr:to>
    <xdr:pic>
      <xdr:nvPicPr>
        <xdr:cNvPr id="5" name="Picture 4" descr="Screen Clipping"/>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734050" y="6477000"/>
          <a:ext cx="905001" cy="743054"/>
        </a:xfrm>
        <a:prstGeom prst="rect">
          <a:avLst/>
        </a:prstGeom>
      </xdr:spPr>
    </xdr:pic>
    <xdr:clientData/>
  </xdr:twoCellAnchor>
  <xdr:twoCellAnchor editAs="oneCell">
    <xdr:from>
      <xdr:col>5</xdr:col>
      <xdr:colOff>0</xdr:colOff>
      <xdr:row>20</xdr:row>
      <xdr:rowOff>0</xdr:rowOff>
    </xdr:from>
    <xdr:to>
      <xdr:col>6</xdr:col>
      <xdr:colOff>1188495</xdr:colOff>
      <xdr:row>23</xdr:row>
      <xdr:rowOff>8628</xdr:rowOff>
    </xdr:to>
    <xdr:pic>
      <xdr:nvPicPr>
        <xdr:cNvPr id="6" name="Picture 5" descr="Screen Clipping"/>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762750" y="5981700"/>
          <a:ext cx="1800476" cy="1162212"/>
        </a:xfrm>
        <a:prstGeom prst="rect">
          <a:avLst/>
        </a:prstGeom>
      </xdr:spPr>
    </xdr:pic>
    <xdr:clientData/>
  </xdr:twoCellAnchor>
  <xdr:twoCellAnchor editAs="oneCell">
    <xdr:from>
      <xdr:col>7</xdr:col>
      <xdr:colOff>981075</xdr:colOff>
      <xdr:row>20</xdr:row>
      <xdr:rowOff>123825</xdr:rowOff>
    </xdr:from>
    <xdr:to>
      <xdr:col>11</xdr:col>
      <xdr:colOff>9525</xdr:colOff>
      <xdr:row>23</xdr:row>
      <xdr:rowOff>42226</xdr:rowOff>
    </xdr:to>
    <xdr:pic>
      <xdr:nvPicPr>
        <xdr:cNvPr id="9" name="Picture 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963025" y="6105525"/>
          <a:ext cx="2352675" cy="10719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285750</xdr:colOff>
      <xdr:row>25</xdr:row>
      <xdr:rowOff>13608</xdr:rowOff>
    </xdr:from>
    <xdr:to>
      <xdr:col>7</xdr:col>
      <xdr:colOff>942411</xdr:colOff>
      <xdr:row>32</xdr:row>
      <xdr:rowOff>109297</xdr:rowOff>
    </xdr:to>
    <xdr:pic>
      <xdr:nvPicPr>
        <xdr:cNvPr id="10" name="Picture 9" descr="Screen Clipping"/>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436179" y="7864929"/>
          <a:ext cx="3267531" cy="3143689"/>
        </a:xfrm>
        <a:prstGeom prst="rect">
          <a:avLst/>
        </a:prstGeom>
      </xdr:spPr>
    </xdr:pic>
    <xdr:clientData/>
  </xdr:twoCellAnchor>
  <xdr:twoCellAnchor editAs="oneCell">
    <xdr:from>
      <xdr:col>8</xdr:col>
      <xdr:colOff>190500</xdr:colOff>
      <xdr:row>25</xdr:row>
      <xdr:rowOff>54429</xdr:rowOff>
    </xdr:from>
    <xdr:to>
      <xdr:col>11</xdr:col>
      <xdr:colOff>154011</xdr:colOff>
      <xdr:row>35</xdr:row>
      <xdr:rowOff>12761</xdr:rowOff>
    </xdr:to>
    <xdr:pic>
      <xdr:nvPicPr>
        <xdr:cNvPr id="11" name="Picture 10" descr="Screen Clipping"/>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t="2953"/>
        <a:stretch/>
      </xdr:blipFill>
      <xdr:spPr>
        <a:xfrm>
          <a:off x="10042071" y="7905750"/>
          <a:ext cx="1800476" cy="3577832"/>
        </a:xfrm>
        <a:prstGeom prst="rect">
          <a:avLst/>
        </a:prstGeom>
      </xdr:spPr>
    </xdr:pic>
    <xdr:clientData/>
  </xdr:twoCellAnchor>
  <xdr:twoCellAnchor editAs="oneCell">
    <xdr:from>
      <xdr:col>3</xdr:col>
      <xdr:colOff>231321</xdr:colOff>
      <xdr:row>35</xdr:row>
      <xdr:rowOff>81642</xdr:rowOff>
    </xdr:from>
    <xdr:to>
      <xdr:col>4</xdr:col>
      <xdr:colOff>482296</xdr:colOff>
      <xdr:row>38</xdr:row>
      <xdr:rowOff>35586</xdr:rowOff>
    </xdr:to>
    <xdr:pic>
      <xdr:nvPicPr>
        <xdr:cNvPr id="12" name="Picture 11" descr="Screen Clipping"/>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769428" y="11552463"/>
          <a:ext cx="1211035" cy="838409"/>
        </a:xfrm>
        <a:prstGeom prst="rect">
          <a:avLst/>
        </a:prstGeom>
      </xdr:spPr>
    </xdr:pic>
    <xdr:clientData/>
  </xdr:twoCellAnchor>
  <xdr:twoCellAnchor editAs="oneCell">
    <xdr:from>
      <xdr:col>3</xdr:col>
      <xdr:colOff>462642</xdr:colOff>
      <xdr:row>41</xdr:row>
      <xdr:rowOff>81643</xdr:rowOff>
    </xdr:from>
    <xdr:to>
      <xdr:col>5</xdr:col>
      <xdr:colOff>455083</xdr:colOff>
      <xdr:row>42</xdr:row>
      <xdr:rowOff>68791</xdr:rowOff>
    </xdr:to>
    <xdr:pic>
      <xdr:nvPicPr>
        <xdr:cNvPr id="13" name="Picture 12" descr="Screen Clipping"/>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000749" y="13049250"/>
          <a:ext cx="1564821" cy="1130148"/>
        </a:xfrm>
        <a:prstGeom prst="rect">
          <a:avLst/>
        </a:prstGeom>
      </xdr:spPr>
    </xdr:pic>
    <xdr:clientData/>
  </xdr:twoCellAnchor>
  <xdr:twoCellAnchor editAs="oneCell">
    <xdr:from>
      <xdr:col>4</xdr:col>
      <xdr:colOff>272142</xdr:colOff>
      <xdr:row>47</xdr:row>
      <xdr:rowOff>176893</xdr:rowOff>
    </xdr:from>
    <xdr:to>
      <xdr:col>5</xdr:col>
      <xdr:colOff>574349</xdr:colOff>
      <xdr:row>49</xdr:row>
      <xdr:rowOff>234131</xdr:rowOff>
    </xdr:to>
    <xdr:pic>
      <xdr:nvPicPr>
        <xdr:cNvPr id="14" name="Picture 13" descr="Screen Clipping"/>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422571" y="15280822"/>
          <a:ext cx="914528" cy="628738"/>
        </a:xfrm>
        <a:prstGeom prst="rect">
          <a:avLst/>
        </a:prstGeom>
      </xdr:spPr>
    </xdr:pic>
    <xdr:clientData/>
  </xdr:twoCellAnchor>
  <xdr:twoCellAnchor editAs="oneCell">
    <xdr:from>
      <xdr:col>4</xdr:col>
      <xdr:colOff>136071</xdr:colOff>
      <xdr:row>49</xdr:row>
      <xdr:rowOff>108856</xdr:rowOff>
    </xdr:from>
    <xdr:to>
      <xdr:col>6</xdr:col>
      <xdr:colOff>944764</xdr:colOff>
      <xdr:row>50</xdr:row>
      <xdr:rowOff>272141</xdr:rowOff>
    </xdr:to>
    <xdr:pic>
      <xdr:nvPicPr>
        <xdr:cNvPr id="15" name="Picture 14" descr="Screen Clipping"/>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286500" y="15974785"/>
          <a:ext cx="2038438" cy="734785"/>
        </a:xfrm>
        <a:prstGeom prst="rect">
          <a:avLst/>
        </a:prstGeom>
      </xdr:spPr>
    </xdr:pic>
    <xdr:clientData/>
  </xdr:twoCellAnchor>
  <xdr:twoCellAnchor editAs="oneCell">
    <xdr:from>
      <xdr:col>4</xdr:col>
      <xdr:colOff>148166</xdr:colOff>
      <xdr:row>50</xdr:row>
      <xdr:rowOff>328084</xdr:rowOff>
    </xdr:from>
    <xdr:to>
      <xdr:col>6</xdr:col>
      <xdr:colOff>642687</xdr:colOff>
      <xdr:row>59</xdr:row>
      <xdr:rowOff>1766</xdr:rowOff>
    </xdr:to>
    <xdr:pic>
      <xdr:nvPicPr>
        <xdr:cNvPr id="16" name="Picture 15" descr="Screen Clipping"/>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307666" y="16795751"/>
          <a:ext cx="1728802" cy="1811515"/>
        </a:xfrm>
        <a:prstGeom prst="rect">
          <a:avLst/>
        </a:prstGeom>
      </xdr:spPr>
    </xdr:pic>
    <xdr:clientData/>
  </xdr:twoCellAnchor>
  <xdr:twoCellAnchor editAs="oneCell">
    <xdr:from>
      <xdr:col>3</xdr:col>
      <xdr:colOff>148167</xdr:colOff>
      <xdr:row>64</xdr:row>
      <xdr:rowOff>94447</xdr:rowOff>
    </xdr:from>
    <xdr:to>
      <xdr:col>3</xdr:col>
      <xdr:colOff>920751</xdr:colOff>
      <xdr:row>68</xdr:row>
      <xdr:rowOff>160995</xdr:rowOff>
    </xdr:to>
    <xdr:pic>
      <xdr:nvPicPr>
        <xdr:cNvPr id="17" name="Picture 16" descr="Screen Clipping"/>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693834" y="19927614"/>
          <a:ext cx="772584" cy="1135464"/>
        </a:xfrm>
        <a:prstGeom prst="rect">
          <a:avLst/>
        </a:prstGeom>
      </xdr:spPr>
    </xdr:pic>
    <xdr:clientData/>
  </xdr:twoCellAnchor>
  <xdr:twoCellAnchor editAs="oneCell">
    <xdr:from>
      <xdr:col>3</xdr:col>
      <xdr:colOff>285750</xdr:colOff>
      <xdr:row>58</xdr:row>
      <xdr:rowOff>127000</xdr:rowOff>
    </xdr:from>
    <xdr:to>
      <xdr:col>5</xdr:col>
      <xdr:colOff>147310</xdr:colOff>
      <xdr:row>62</xdr:row>
      <xdr:rowOff>175808</xdr:rowOff>
    </xdr:to>
    <xdr:pic>
      <xdr:nvPicPr>
        <xdr:cNvPr id="18" name="Picture 17" descr="Screen Clipping"/>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831417" y="18732500"/>
          <a:ext cx="1438476" cy="895475"/>
        </a:xfrm>
        <a:prstGeom prst="rect">
          <a:avLst/>
        </a:prstGeom>
      </xdr:spPr>
    </xdr:pic>
    <xdr:clientData/>
  </xdr:twoCellAnchor>
  <xdr:twoCellAnchor editAs="oneCell">
    <xdr:from>
      <xdr:col>3</xdr:col>
      <xdr:colOff>169333</xdr:colOff>
      <xdr:row>70</xdr:row>
      <xdr:rowOff>1</xdr:rowOff>
    </xdr:from>
    <xdr:to>
      <xdr:col>3</xdr:col>
      <xdr:colOff>751416</xdr:colOff>
      <xdr:row>74</xdr:row>
      <xdr:rowOff>111532</xdr:rowOff>
    </xdr:to>
    <xdr:pic>
      <xdr:nvPicPr>
        <xdr:cNvPr id="19" name="Picture 18" descr="Screen Clipping"/>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715000" y="21325418"/>
          <a:ext cx="582083" cy="1074614"/>
        </a:xfrm>
        <a:prstGeom prst="rect">
          <a:avLst/>
        </a:prstGeom>
      </xdr:spPr>
    </xdr:pic>
    <xdr:clientData/>
  </xdr:twoCellAnchor>
  <xdr:twoCellAnchor editAs="oneCell">
    <xdr:from>
      <xdr:col>3</xdr:col>
      <xdr:colOff>222250</xdr:colOff>
      <xdr:row>75</xdr:row>
      <xdr:rowOff>95251</xdr:rowOff>
    </xdr:from>
    <xdr:to>
      <xdr:col>5</xdr:col>
      <xdr:colOff>83810</xdr:colOff>
      <xdr:row>75</xdr:row>
      <xdr:rowOff>876410</xdr:rowOff>
    </xdr:to>
    <xdr:pic>
      <xdr:nvPicPr>
        <xdr:cNvPr id="20" name="Picture 19" descr="Screen Clipping"/>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767917" y="22616584"/>
          <a:ext cx="1438476" cy="781159"/>
        </a:xfrm>
        <a:prstGeom prst="rect">
          <a:avLst/>
        </a:prstGeom>
      </xdr:spPr>
    </xdr:pic>
    <xdr:clientData/>
  </xdr:twoCellAnchor>
  <xdr:twoCellAnchor editAs="oneCell">
    <xdr:from>
      <xdr:col>3</xdr:col>
      <xdr:colOff>253999</xdr:colOff>
      <xdr:row>77</xdr:row>
      <xdr:rowOff>84667</xdr:rowOff>
    </xdr:from>
    <xdr:to>
      <xdr:col>6</xdr:col>
      <xdr:colOff>63778</xdr:colOff>
      <xdr:row>81</xdr:row>
      <xdr:rowOff>360518</xdr:rowOff>
    </xdr:to>
    <xdr:pic>
      <xdr:nvPicPr>
        <xdr:cNvPr id="21" name="Picture 20" descr="Screen Clipping"/>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799666" y="23706667"/>
          <a:ext cx="2000529" cy="1114581"/>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381000</xdr:colOff>
          <xdr:row>1</xdr:row>
          <xdr:rowOff>152400</xdr:rowOff>
        </xdr:from>
        <xdr:to>
          <xdr:col>7</xdr:col>
          <xdr:colOff>409575</xdr:colOff>
          <xdr:row>2</xdr:row>
          <xdr:rowOff>66675</xdr:rowOff>
        </xdr:to>
        <xdr:sp macro="" textlink="">
          <xdr:nvSpPr>
            <xdr:cNvPr id="4113" name="Button 17" hidden="1">
              <a:extLst>
                <a:ext uri="{63B3BB69-23CF-44E3-9099-C40C66FF867C}">
                  <a14:compatExt spid="_x0000_s411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FF"/>
                  </a:solidFill>
                  <a:latin typeface="Arial"/>
                  <a:cs typeface="Arial"/>
                </a:rPr>
                <a:t>Reset</a:t>
              </a:r>
            </a:p>
            <a:p>
              <a:pPr algn="ctr" rtl="0">
                <a:defRPr sz="1000"/>
              </a:pPr>
              <a:r>
                <a:rPr lang="en-US" sz="1200" b="1" i="0" u="none" strike="noStrike" baseline="0">
                  <a:solidFill>
                    <a:srgbClr val="0000FF"/>
                  </a:solidFill>
                  <a:latin typeface="Arial"/>
                  <a:cs typeface="Arial"/>
                </a:rPr>
                <a:t>(clears all blue spots)</a:t>
              </a:r>
            </a:p>
          </xdr:txBody>
        </xdr:sp>
        <xdr:clientData fPrintsWithSheet="0"/>
      </xdr:twoCellAnchor>
    </mc:Choice>
    <mc:Fallback/>
  </mc:AlternateContent>
  <xdr:twoCellAnchor editAs="oneCell">
    <xdr:from>
      <xdr:col>1</xdr:col>
      <xdr:colOff>0</xdr:colOff>
      <xdr:row>5</xdr:row>
      <xdr:rowOff>0</xdr:rowOff>
    </xdr:from>
    <xdr:to>
      <xdr:col>1</xdr:col>
      <xdr:colOff>304800</xdr:colOff>
      <xdr:row>8</xdr:row>
      <xdr:rowOff>107950</xdr:rowOff>
    </xdr:to>
    <xdr:sp macro="" textlink="">
      <xdr:nvSpPr>
        <xdr:cNvPr id="4116" name="AutoShape 20" descr="data:image/jpeg;base64,/9j/4AAQSkZJRgABAQAAAQABAAD/2wCEAAkGBxQQEhUUEhQUExQXFhYUFxcYGBgaGBgYFRoaFhQVHBcYHCggGBonGxYWITEhJSkrLi4uFx8zODMsNyktLisBCgoKDg0OGxAQGy0lICQsLCwvLywsLCwvLC8sLCwsLywsLCwsLCwsLCwsLCwsLCwsLCwsLywsLCwsLCwsLCwsLP/AABEIAMsA8AMBEQACEQEDEQH/xAAcAAACAwEBAQEAAAAAAAAAAAAABgQFBwMCAQj/xABHEAABAwICBQkDCQcDBAMBAAABAAIDBBEFIQYSMUFRBxMyYXGBkaGxInLRFBYzNEJSYrLBI1NUgoOSohUk4VVjk8LS8PEX/8QAGwEAAQUBAQAAAAAAAAAAAAAAAAIDBAUGAQf/xAA6EQACAgEBBAYIBQUAAgMAAAAAAQIDEQQFEiExEzJBUWFxFCIzUoGRobE0QtHh8BUjgsHxBlMWJGL/2gAMAwEAAhEDEQA/ANxQAIAEACABAAgAQAIA4S1bGmxOa6otiXJIrp6l0jrNvbcAnEkhtybfA8Np3AgHWbrZXBzHXfijK5nN1nPRbSD5TzsUlhPA4skAyDtUlokaOBts3eCc1FHR4kuT4r9BOn1HSZi+a4P9S/UYkggAQAIAEAco6ljjZr2k8AQT4IFOEkstHVAkEACABAAgAQAIAEACABAAgAQAIAEACABAAgAQAIACgCiqYCw2JBTqeRiSwFNOWG4z3IayCeDljGkDaeMzS2AbfUbve+2TR+vBLqodkt2P/BFt6rjvS/6Y7hmOywVPylpBkLnOdfY7XN3A9RV9ZRGdfRvkZ+vUShZ0i5jpV8qziBzVO1p367y4dgDQPHyUCOzF+aX0LGW1X+WP1L/AeUOmqLCX/bv4ON2nsf8AGyjXaCyHGPFEqnaFVnCXBjdFK14DmkOB2EEEHvChNNcGTk0+KI+LYiylhfNIbMYLnieAHWTkuMepqlbNQjzZhGkultRXuOu4si3RNJ1QPxffPWfAJpvJsNLoatOvVWX3/wA5FAGgbMlwmZNA0F0+khe2GqeZInEND3G7oychd29vbsSoyKXaGy4Ti51LEl2Lt/c2FOGYMp0t5ViyQx0LWODbgzOzBP4G8OsnPgrGnRZWZ/Ijzu7Ii/Rcqtcx1381K3e0t1f8m7PNPS0Vb5cBCuka5oppLFiMPORZEZPYekx3A8RwO9Vt1MqpYZJhNSWUXSaFAgAQAIAEACABAAgAQAIAEACABAAgAQAo45jMVNIWzv1XH2hkcxxGWal1UTsWYIhXXQrfrsX36Y868RUcL5pDsvkO2223bZSlo91b1ssIivW7z3allkzFdCpJaaWWokMtVqXYG5MjDfaMbRvvxSa9ZGM1GCxH6vxF26KU63KbzL6LwMqVyUQIAEAaryOOPMzj7IkaR2lvtejVTbTxvx8i82Vncl5nnloqS2ngjGx8pLuvUbcDxN+5VUzY7DgnbKXcvuZGmzSggD4QgDacWxR4wLnQTrup2tvv9qzCfBTNLHesimYTaEVXbNLvZhCvCpBAD5yM1TmV5YOjJE7W/ksWnzPiVD1yzXnuY7S/WNzVSSwQAIAEACABAAgAQAIAEACABAAgCNXVrIRd57BvPYFF1Wsq00d6x/qxyqqVjxEqRpO2/wBG63G4v4f8qlX/AJHXvdR48+Py/cmf0+WOsdMVw2nxOHVdmPsuHTY7iPhvWi0G0IzXSUvK7f0ZW6vSKS3LEZ9PyY1TCebljdbom7mnwzse9Xq2lW1xTKSWy7E/VaLjB8Kxiny52N7R9mR5ePG1x4pi23ST7H8OBJqq1kO1Pz4lbj2jkbnF9TG6ge45yM/a0xJ3m1jGSeOXanadRJLEHvLufB/uM36aDeZrdfeuK/YosT0KqYrOjaKmMi4fD7QPcM1Ir1lcuEuD8SLZobI8Y+svAo6vD5Ybc7FJHfZrsc2/9wUiNkZdVpkadU4dZNGx8mWHmGhaSLGVxlPYbBvk0Kj19m/c/DgaDZ9e5SvHiHKVgjqujPNi8kTudaBtNgQ5o7ifAKBJZRf7L1Kpv9bk+BhYKbNeCAJOHUD6mVkUQu95sOriTwA2lCG7bY1Qc58kfoGqwJj6M0hPsGLmr9gsHW7RdSK5bkk12GEuk7ZSk+0/OeM4TLRyuhnbqvb4OG5zTvaVfQnGa3olc04vDIJKWcNg5HdFnxa1XM0t126kTSLHVObnkbr2AHeqzW3J+oviSaYNcWOlZpPFFWR0h6T2k618muPQb2nPy4qtclnByWojG1VvtLxKJAIAEACABAAgAQAIAEACABAAgBLx6cvmdfY32R3LB7YulZq5J9nBF3pYKNS8SuVWSC10bnLZgNzgQe7MK52Hc4apRXKXD/ZE1kE689w4LblOCAPL2BwIIBByIOYI4WQngGsiFjOjVRQudPhjnBpzfT7R2tacndm3hwVlVqK7VuXr4lZbprKXv0fFHWmwytxPVNdaCnBa7mWiznkfevm0fFclZTR7LjLv7hUa7tR7XhHu7x4Y0AAAWAFgBsAGwKuzksUsHpACVpPycwVbjJE408hzdZocxx4llxY9YPikuOS20m1rKVuyW8vqviLUXJJNf2qmMN4hjifAkeq5uE57drxwg/n+w+aL6JwYeDzQLpCLOkdYuPUNzR1BKSwU+r11upfrcu5F8ukMh4nhUNS3VniZK3cHAG3ZwSozlF5i8HGk+ZW0OhtDA7Xjpog4bCRe3ZdOSvsksNiVXFdhfJkWIOnOGUsVTFVzPIcDd0Tc3SlliwjP2c9pOSYtlCHFhTsaetvU4clz7vA+YLp7LV1UcLYWMY5xBJcXOsATfKwvl5pqGplOaikaHU7Gr0+nlZKbbXhhf7H9TDPAgAQAIAEACABAHOedsbS57g1o2lxAA7yg42kssScd5SoIrtp2md33uiwd+13d4puViXIr7towjwhx+xQU/KnUDpwxPHUXNPjn6IjKT7BVF2osWXFY8eBcUfKpC76WCRnulrx+h8kviTMy7V8n/wAOVXj1NUy3hfcuFy1wLTcdu1ZDbmhnGzp4rg+fgy20WoUo9G+DR6WfLAYNGsOdrc64WFrNvvvv7FpthaCal081hdnj4lfrb1jcXxGRaorAQAIAEAVmkGLiki1yLuJ1Wt4n4BdSyM32quOTO6nSGpkNzK4dTTqgdwTmEVUtRZJ5yXmjOlb9dsc51muIaHna0nZfiElxJOn1Ut7dmPaQWQIAiYpiLKaMyy3DG2uQCbXyvYblxvAiyxVx3pcihj0/onENbI8uJAAEb7knIDYk9JEjLX0t4T+jIOM8obaWofDJTv8AYNtYOGYOYcARst1rjsw8YG7deq5uDiXej+ldNW5ROs+1zG7J3duPclRmmSKdVXb1Xx7i4qZxGxz3ZNa0uPYBcrreFklQg5yUVzfAwPGMTfVSumk2u2Dc1u5o6gqac3N7zPQ9Np4UVquHJfXxJeiVYIKyB7sm6+qTwDhq38SEumW7NMZ2hU7dNOK54+3E3VW5gAQAIAEACAIuI4jFTt15pGxt4uNr9QG89i42lzETnGCzJ4EDHeVAC7aSPW/7kmQ7mbT3kdibdncVt20lyrXxYgYtjE1U7Wnkc/gD0R2NGQTTbfMrLLp2PM3k9UeEulZrMc2+d2k5iyiz11dM92cX59hZaCurd3mss8y4NM37BPZYp+G0dPP83z4FpvIhSROb0mlvaCPVS4zjPjFp+Qo8pQEg10trc4+3DWPxTHotGd7cWfJC3ZNrDbO9BilTGQIZZhwa1zrf23snJuMVvSeER+hguXDy4DG7S/EKUN15WvLr+y5rSQBbba3HyUSrWRtb6Pku0g6rUTpa3HnPeT6XlUmH0kEb/dc5h8w5P9KxmO059sUXVJyo07vpIpY+zVcPIg+SUrUPx2nW+smhswbGoaxhfA8OAyI2FvC4OYTiknyJtV0LVmDyLXKQw/sHfZHOA9p1SPIHwTkSJr0/VfmJKWVx6YwuIa3pEgDtOQ80HcN8EbSEyaAEAZ7ysY86NjKaM25wF0h36gNmt7ze/Z1pqyXYVm0b3FKtdvMgcmWiz+d+UzMLWtaDED9ovHT7APXqXK48csa0Gme90kl5DtjeilNWO15mEv1dXWDi02GzZt2pxxT5lhbpa7XmS4mV6XaNvwyVj45CWE3jfsexwzsbb+vfmmZR3Sn1OnenknF8Ow1LRDHBXUzHutr5te3LpN2m3A5HvT0XlFxpb+lgpdpczwteNV7Q4HcQCPArrSfMlRnKLzF4Zl/KDog2nHPwC0RNns3NJ2EfhOy25V+poUfWjyNXsjacrn0Vr9bsff8AuXWhGmrJGNhqXBkjQGte45PG65Ox3qnqNQmt2XMg7U2TKEnbSsxfNd37D0pZQAgAQAIAzKvqnTPc9xuST3DcOxYm62VtjnIYbyQJaKN3SY09wXY32x5SY3KqEuaRElwKF32S3sJUiO0L49uRiWiqfZghy6Mt+zIR2gHzFlIjtWX5o/J/9GJbOX5ZHkYZUx9CW/ef1SvS9LPrw+n6B6PqIdWQGpq2dJgeOy/oVxVaKfVlh+f6h0mqhzjkjyYjGcpaYA9WR8CB6qRGi5cars/X9RS2hKPXjj+eJ5vRnO0jerNL39euHqseW0a2v2PkmLNjGrTsDBvcc3FcWkna97USz4dhFu2hKXCBVvcXG5JJO8qbGKisIr3Jt5Z9bGu5E5PWQQcGrk1rHMrmAdGRrmOHHLWHmEut4kTdnzcbku813EqBlRGY5Bdp8QdxHWpKeC+sgpx3WJFToPMD7D2PbxN2nvGaXvFdLRTT4MutHdExTuEkrg946IHRb157SuOWSRRpFB70uLGdJJgIAxrlYYRW3OwxMt3XB81Ht5lFtFf3vga3hbgYYiBYGNhA4DVFgn1yLqvqryJS6LEflQ0e5+EVDB+0hB1rfaj2kd23xTdkcrJX6+jfhvrmvseOS3R7mYjUvH7SUDVv9mPd3u29gC5XHCyc2fp9yO++b+w9p0sSo0taDR1Gts5t3pl5pu7qMmbPbWprx3owlU56Aa3yc4LNTxGSdzxrgBkTibMaM76pyBOWW4DrVlpq5RWZGO2zq6rZqFaXDm+9+fgOEUgcAWkEHMEbCpEZKSzHkUh6SgBAGVrCjB8QAIAEACABAARfahcDhGlw+J21jT3fBPR1NseUmNyorlziiFU6PxuHsXad2dx4FSqtpWxfr8URrNDW16vBi28apLbZg2PaFeRaksop2mnhnwMJ2rpw9tYAgBj0B+vw9rvylLr6xL0Pt4m1KUaMEACABAAgCkx/R9lS9k1mmaJrubDhdhcbFuuN4BH+RSZRzxI91EZtS7VyM7m5Sa1hLXMha5pLSC11wRkQfa4prpJFW9o3J4aQ4Q8odGIwXSOLrC4EbgSbZ2G7PrS+kRPWvpxxf0FSv5Q6qom1KVga13stYWh7nX47u7YEh2NvgQpa+2csVo0/CYpGQsbMWmQNGtqgBt+AA3DZ3J5cuJb1qSilLmS10WQsYw1tVE6J5cGutfVNiQM7X4JE4Kawx/T6iVFisjjK7yuwzRako/bawXGeu86xHWC7IJtVV1+t9yRqNp6m9YnLh3LgV+kOkIeDHCcjk5/EcB8VTa/aSknXVy7X+hWSl3F/gX1eL3QrbRfh4eQuPInqUdBAGVLCjAIAEACABAAgAQAIAEAKmKj9s/t/QLSaP2EfIoNV7aX87CIpBHBADDoD9fh7XflKcr6xL0Pt4m1KUaMEACABAAgAQArYxoJT1Uz5pNcF7QLNNrOG1/WSLCxG5IcE3kh26Kuybk+3+ZKT/wDlUV/rEmrw1W38dnkk9F4kf+mRz1mNOj+i1PQ5xNJeRYvcbvPfsHdZLjFImU6aurqrj3l2lEgEACAMumnc/puc7tJPqsNKydnGbb83kYOaSBo2BfV4vdC2Oi/Dw8h6PInqUdBAGWyxlri07QSD2jJYaUXGTi+wYPC4AIAEACABAAgAQAIAVMW+mf2/oFo9H7CPkUGq9tL+dhEUkjggBn5OKd0lcwtGTA5zjwBFh4kpypesTdnxcrk12Gv1FQ2Npc8hrRvKfssjXHek8I0OSvwzHGVEhYxrshfWO/MDZ3qHptfDUWOEE+HaJUsnfFcUZTtu/MnotG0/8dae1Wrr08cy59i7zreBSq9Jp3n2SIxwbt8Ss/btTUT5Pd8htyZD/wBXn/ev8VH9M1Hvs5lkmm0jnZtdrjg4fqE9XtPUQ5vPmd3mNmDYu2pabey4dJv6jiFf6PWw1MeHBrmhxSyWSmHQQAIAEACAMqWEXIYBdA0PB5Wspoy4ho1RmTYea12knGGmg5PCwOrkehjlPe3Ot8/Vd9P02cb6O7yJ0bw4XaQQdhBuPFSoyUllM6VWKaPxzu1rljt5FrHtBUDVbNqvlvZafgJcUymqNEXNBLZGmwvmCPQlV1mxpJZjP6CdwWgqVPIgF0AQAIAEACABACni5/bP7f0C0mj9hHyKDVe2l/Owj0UTp5GxQt13uNgNnXtOQyBUpRyNwrlOSiu0eqDQCOEB9fOAP3UZtfqLtp7gO1dslXSs2PBaVbNjHjY/gWhxlkDebo4mws42Gsev/wDbqov2tJ+rSsLvfMnxUYLEFgrqitfI0NcSQCXZm9yd57slWWXzsioyecZfxf8AMHclvoX9M73D6hWOx/bPyOw5kHSGpMk7zuadQdjcvW6i6+12aiT7uHy/c5J8StUI4XtXgAZTCYOJdZriMrWdw8VaW7OUNOrk+PB48xTjwyUSrBJY4BOWVEZG92qex2XwUvQ2OGoi12vHzOx5jljOMMpgL+047Gj1J3BaLV62GmXHi3yQ65YFao0mndsLWDgB+pVHZtXUS5NLyG95kcY7UfvT5fBNLaGp9/7HN5k+j0rlaf2gDx1ZH4KVVte2L9dJr5MUpsbKGsZMwPYbjzB4HrV/RfC6G/B8BaeTMliVyGQXQOs1Q54aHEkNFmjcB2JU7JTSUny5AckkC10fxJ0EjRf2HEBw3Z5a3apug1UqLEvyt4a/2Ki8GgLWjpzn6Luw+iTPqvyAy5qwseSGASgBAAgAQBX1GLtjeWua7LeLKbXoJ2QU4tcSHZrYwm4tMDjMVr3PZbNH9PuzjH1D06nGcivO3nHue/Mk3tuHV1q9rgq4KC7Cpst3pOXeX2gotXU/vH8jk7X1kO6P8RH+djG3SM3qZO0DyCzm0PxM/h9kX0uZWKGcBADBoX9M73D6hW2x/bPyFQ5lNW/SSe+/8xVbd7SXm/uxLOCaYDxisgFCL742AdtgtRq5JaLj2pDj6ojrMDZ3oTaWM/jZ+YJyl4si/FfdAuZKx+cvqJCdztUdjcvin9dY56ib7nj5HZcyuUM4Xlbo+Y4BLr3Nmkttl7XXfrVpds110dLvceHDzFOPDJRqsEjDoXMRK5u5zb2627D5lW2x5tWuPY19hcOYvKoXIQC6A4No2f6f0RfU1r2zvtvdaFUw/p/LjjPxHMeqJ6zw2emmxBQnh5A1NbofOc/Rd2H0SZ9V+QGXNWFjyQwCUAIAEACAFbGfpnd3otFofYRKHV+2ZCUojAgC90G+v0/vH8jkuvrIlaL28f52Ma9IvrMvvD0Czev/ABM/P/SL6XMrVEODNojhbJA6R41rHVaDs2XJ69oVzsnSwsTsms4eF+ouCGxkTW7AB2ABX6jFckOHCtqooRrSFreHE9g3pq62qlb02kcbSFqv0pvlDGB+Jwue5qpb9rZ4VRXm/wBBDn3FBVVT5Td7i47r7uwblVW3TteZvIhvJwTYHWl6bPeb6hKr68fNfcEdsWbaeUH948+JJHqnNVHdvmn7z++Tr5kRMHB0p6ltZTc01wbJqgEHqtmOIyWkhbHWaboovEsY4jmcrBXfNCT94zz+Cif0a33l9Tm4ywwPR99PLruc0ixFhe+fapei2dOi3fck+B2McMTFm1yGwXQHlv1D+ktOvwH+I7+URllxoF0DVVuh85z9F3YfRJn1X5AZc1YWPJDAJQAgAQAIAVsY+md3ei0Wi9hEodX7aRCUojAgC90G+v0/vH8jkuvrIlaL28f52MatIfrMvvD0Czev/Ez8/wDSL6XMrlEODvoYP2B9936LS7I9h8WOQ5F8rUWZzjlUZZ3knY4tHUGmyx2ttdt8m+xtL4DMnxICjHBnZhbYqJ8hF3vYDc7gSLAK7WkjVopTfWa+QvHqiwqQQdabpt95vqEqvrx819wQyaV4O4uM0YuCPbA2i32usK62popOXTQWe/8AUXKPaKyohB9a4g3GRGwjaup4eUBf4ZpRJHYS/tG8ftD4q10+1rIcLPWX1/cUpjdR1bJmhzDrD06jwK0FV0LY70HlDieTMViVyGQXQHlv1D+ktOvwH+I7+URllxoF0DVVuh88T9F3YfRJn1X5AZa1YWPJDAJQAgAQAIAVsY+md3egWi0XsIlDq/bSISlEYEAXug31+n94/kcl19ZErRe3j/OxjVpD9Zl979As3r/xM/P/AEi+lzK5RDg8aG/Qfzu/RabZH4f4sdhyL1WgozCs+kf77/zFYi32kvN/djDOKbAecRP+w/pM9AtRqWvQf8UOPqiMswNnWm6bPeb6hKr68fNfcEaU6qYDYvYDwLgto7q08OS+Y9lFJiuE0813NkZG/iHNse0X9FWarR6a71oyUX5rHxQlpMV8Qw6SA+2MjscM2nsKo79NZQ/XXDv7GIawQ1HOF3olVlk4bfJ4sR1jMH1Vnsq7cv3eyQqL4lJdVaawJBdAeW/UP6S1C/Af4jv5RGWXGgXQNVW6HzxN0T2H0SZ9VgZa1YWPJDAJQAgAQAIAqIcK+VVMrS8RtYwyOcQSAGgXyC0uzq3OqMUU9lPS6iSzjHEP9HpP+oRf+ORW/wDTb+4R6PV/7F8g/wBIpP8AqEf/AI5Ef02/uD0er/2L5E7AIaOmqI5jXRuDCTYRvF7gjbbrSo7OvTzgdohVXYp9IuBb4jiNFLK9/wAsYNY3tqPyytw6lV6j/wAd1FtsrO8sHqqW+sR/lFF/Gs/sf8E1/wDGdR3/AE/c56TT7xe4JpRQ08eoalrsyb6rxt7laaPZN+nr3Gs8Ra1lC/MWHz5of4hv9rvgpfoV/unfTaPeFvG6cxzyA73Fw7HZ/qsJrKnXfJPvz8+I5LmQFGOEv5ZK9nNaziwC+r1DPwT/AE904dFnguw7lkRMHDrTdNnvN9QlV9ePmvuCJWPN/wBxL73rZP65f/Zn5/6Oy5kAhRWuBwfq9odRG/7pp8ACFrL0paN593/Q6+qJWPYwaClpiyOJz5TI4l7db2W26x94eCk7B2dVfp82Lx+ZA1mplRGO7zZQM0/qGkERUwI2ERm4/wAlex2NpIvKjx+H6ED+pW9y+RfaG6Uy1dRqSxU4jDHvcWx2NmjiSo2s2fpqKnNL7foStHrLLrN2WMeRwc65J4m/ivN288e8njw36h/SWnX4D/Ed/KIyy40C6Bqq3Q+eZG3BHEELkllNAZc+MtJa4WIyI4EbVht1x9V80MHlAAgAQAIAi4YbPr3cKV3nqha7Yiz0f87SsfC21/8A5EdbgqAQAIAEACABAFlozSc9VwR7QZG37AdZ3kCmb57tUn4D+mhv2xXibxiWFx1As8ZjY4ZEd6yGo0lWoWJr49pqWkykOh7b5Sut7ov43Va9ix7Jv5CdwtKTAYo2OYLnXGq5xtrW6srBTatn01wcF28G+07uoifNOD70niP/AIqP/R6O+XzX6HNxHpmisIIN5MiDtG7P7q6tkUJp5fzX6HdxFRphQlsvOAey8C54OGWfaFA2tQ429IuT+4ia45F5VIkmvxaUxc0Xexa1rDYN19tlIlrLnV0bfA7l8ig5SpbSwRfu4GX7X5n9F6PsWro9Mvh9in2nL+4o9yE9W5WDpyeM1Y6yXhGyIf1Cb/lHis//AORW7mlwu3P6f7LbZketLyJ+r1LznDLQeG/UP6S06/Af4jv5RH1TwWYwxoNU8EYYGqLdD4IAqMYwBlQda+o/iNh7RvVfq9n16h73KXf+olxyL82ikw6JY7vt6qpnsi9dVp/QRuMgTYNOzbE/uGt+W6iT0Wohzg/hx+xzdZCfGW7QR2gj1Udxa5rBwGNLjYAk8ALnwC5FOTxHj5AXGiOjUmvUPqYw2KZgYGE+0QDclwHR2DLbmthoK50QjnmhirTtznOa4S4YLv5lUP8ADs8/irP0y73h30On3Q+ZVD/Ds8/ij0y73g9Dp91GRaYwxx1kzIWhjGENAGy4Av53V3pXKVScubKDWKMbmorgilUgjD7yX6Pw1QnfPGJGtLGtvuPtF/lqqt2hfOvdUHjmWuzqIWKTmsj38y6H+HZ5/FV3pd3vFn6HT7qO9DovSQPEkcLGvbscL3F8kmeptmt2UuAqGmqg96MeJcJgfBAAgAQAIA8SMDgWuAIO0FclFSWJLgBRVeicTjdjnR9W0eBz81U27Hqk8wbX1X8+IhwRD+Z5v9KLe7/yo/8ARX7/ANDm4ZjpxVc7XTncH6g/k9k+YK9C0kd2mKM5rZ718iiUkimxck9JqURf+8kc7ubZo9D4qi2jLNuO5Gh2bDFOe9jpZQMFgfUAfLIwAWRgD6gAQAIAEACAPL2A7QD2rjSfMDzHA1vRa0dgA9FxQjHkgwdEoAQB8cbC52IA/OFfUmaWSQ7Xvc/+4k/qtVCO7FR7jI2S3pOXezglCDZOTOIQYeZHZazpJT2Ny9Gqi173791eCNDs+O5RvebM4Omdcc/lDx4fBWnodPulS9bf7wfPKu/iZPL4I9Ep90PTb/eH3HtLH0VFA3W16qWJrrnPVBFy8jjnYDq6lXU6VW2yePVTLS/VummKzmTRmMmLTudrmaUu2313X9clbKqCWML5FK7rG87z+Zq3J9j00lLJJVuaIozZsrsi4DpX3G2Qv2hU2tohGxRr5vsLzRXzlW5Wcl2lNpDymuuWUbQB+8eLk+6zd2nwUinZqxmx/BEa/abzipfFiVW6RVUxu+eU9QcWjwbYKfHT1R5RRXT1NsucmQ2V8oNxLIDxD3D9Ut1xfNIQrZrtYwYJp3V0xGs/nmb2Pzy6nbQfFRrdFVNcFh+BKp19tb4vK8TX8NxiOopxUMPsapceI1ekD1iypJ1ShPcfMvoXRnDfXI/Pc0pe5z3bXEuPa43PqtMlhYRlZNtts8Lok3/Q+l5qigbv5trj2u9r9VmtTLetk/E1Wmju1RXgLHKTpbzLfk0Dv2jh+0cDmxp+yCNjj5DtUvQ6XffST5dniQtfq9xdHB8e3wFHBtP6unsHOEzOEm23U8Z+N1Ot0NU+XDyINW0LYcHxXiatoxjfy6HneafEL2GtYg8S07x12CptRT0Ut3OS7093TQ3sYLdMD4IAEACABAAgAQAIAEACAKrSqq5qjnfwjcB2kWHqntPHetivEZ1Et2qT8D8+rTGUBAGz15+SYNbYfk7W98gAI/yKoYf3NV8fsaOf9rSfAxhXxnAQdRMxfEXVMrpX7TsG5rRk1o6gMk3XWq4qKHLbXZLeZ8wnD3VMrYmZFxzJ2NaM3PPUBcrtliri5MKq3ZNRRaaT46JtWCC7aWH2WD75G2R3Enb3pnT0buZy6z+ngPanUb39uHVX18SgUkiGuaG6BxRRtkqWCSVwB1HdFgOYFt7uN1SarXSlLdg8L7l/pNBCMd6ay/scuUzAKdlKZmRtjkY5oBaANYONi0gbePclaC+x2bjeUxO0NPWqt9LDRlCuSiHvRKudFhVdnkDZvbI0NI9PFV2pgpamH85FrpbHHTTERWJVHWlgMr2MG17msHa4gD1XJS3U2+wVCLlJJdptmmekjcOgAZYyuGrG3gBlrkcB5rP6XTu+eXy7TR6rUqiHDn2GIzSue4ucS5ziSSdpJ2laBJJYRnJScnljPoLoma6TXku2nYfaOzXP3Gn1O5RNXqlSsLrMmaPSO55l1V9TaoYgxoa0BrQLADIADYFQNtvLNEkksI9rh0EACABAAgAQAIAEACABACdyq1WpQlu+SRjPC7j5NU7Z8c3Z7kQNpT3acd7MZV8Z074fS89LHGPtvaz+4gfqkzluxcu4XXHfmo97NX5W6rUpGRj7cgFvwsBd66viqbZsc2uXci82nPdqUe9mQq7KA70NI+eRkcYu97g0DrP6b0mc1CLk+SFwg5yUVzZsuCaBUsDAJGCeS3tOfmL/AIW7APNUNuutm+DwvA0NOgqguKy/Ep+UCnp8PgJp4mRSz3iu3L9mM5LDwF/xJ/Rysun67ylx+PYMa1V0Q9RYb4fDtMrVyURMweaOOeN8oLo2vDnAWuQ3O2fWAkWqTg1HmO0yjGacuRpk3KnAB7MMrj16oHjc+iqFsyfa0XD2rX2JiNpTpXNiBGuAyNpu1jb2vxJPSPgrHT6WFK4c+8rdTq538+CKigoZJ3iOJjnvOwAeZ4DrKfnOMFmTwiPCuU3iKyx90tw0YdhcdPcF8kodIeJA1jbqFmhVums6fUOfYlwLXVV9BplX2t8TOlaFOWOj1WyCojlkBc2N2uQNpLQS3zsmroudbiu0e081CxSlyR4xrFZKuZ0spu524bGjc0dQXaqo1x3YnLrpWz3pEzRLR8184jDtVoGs92Vw0GxsDtOab1N6phvDml07vnu9nabrQ0bII2xxtDWNFgB/9zKzs5uct6XM00IKEVGPIkJIoEACABAAgAQAIAEACABAAgDMeWSq9qniG4SSEduq1vo5W+zI8JS8im2rLqx8zNlalOMnJ3S87Xw8G6zz/KDbzIUTWy3aWTdBDevXgX3LFU3mgj+6xzu95A/9PNR9mRxGUiTtWWZRRnqsypHnkkoQ+qfIR9HHl7zzYeQcq7aU8VqPeyz2XDNjl3I15UhfGT8sU5NRCzc2Mu73usfyhXOzF6kn4lJtV+vFeAgKzKksMCwaStl5qLV1tUu9o2Fhtzt1pq66NUd6Q9RTK6W7EaYOTCqPSfC3vcf0UN7Sr7EybHZdj5tFzh/JXGM553u6mANHibpie05flj8yRDZUV1pfIdsJwaCkbqwRtYN5G09rjmVX2XTseZPJZV0wrWILBnXLHU3lgj+6x7/7yB/6eatNmR9WUio2rL1oozxWhUjbyeYMKt1S0/uHNB4OebN/KfBQtbb0ai/H7FhoKekcvL7im5pGRFiMiOB3hTSA1gstGsXNHURzDYDZw4sOTh4eiZvqVtbiPae51WKR+gYpA5oc03aQCCNhBzBWaaaeGalNNZR7XDoIAEACABAAgAQAIAEACABAGLcqNVzlc4XyYxjO/pH1V/s+OKc95ntpTzdjuFFTSvH/AJHqXWnmk+5G1ve8/BhVbtOWIRj3stdlRzOUu4puUeq5yvl/Bqs8Bc+ZKf0Md2leJH2hLevfgLKlkI1jkepNWnmk3vkDe6MZeb3Kl2nPM1HuX3L3ZcMVuXe/sP6rS0Ms5Y6QiWCW2TmOjJ4Fp1h4hx8CrjZkvVlEpdqx4xkZ2rQqC20Vxj5FUsmtdou1w3lrsjbr39yY1FPS1uJI013Q2KRttFpHSzN1mVERG2xe0EdrSbhUEtPbF4cWaOOoqksqS+ZBxTTajgH0zZD92Mh58RkPFOV6O6fZjz4Ddmtpgutny4nPQ7S1uImUanNuYQQ29yWHY7tuDfhcLuq0roxxzkTpdWr88MY+xmvKTVc5Xy/gDWeAufMq10Md2leJUbQlvXvwFhTCCatyPUmrBNL9+QN7oxf1e5U2055nGPcvuXuyoYhKXe/t/wBEzlBw75PXSgCzXnnR/Pm7/K6n6KzfpXhwK7XV7lz8eIuKUQzX+SvG+epzA4+3Da3XG7o+BuPBUe0Kdye+uT+5oNnX79e4+a+w8KvLEEACABAAgAQAIAEACABAAgD886R1fPVU8l7h0j7HqBs3yAWnohuVxj4GU1E9+2UvErk6Mmt8kNJqU0kh2vktf8LBYeZcqXaUs2KPci+2XDFbl3sy3FKrnppJPvve/ucSQPBW9cd2Kj3IpbZ783LvZGSxs3Xk+peaoIR94F5/nJKzuslvXSNPoo7tERiUUlFRpTgja6ndEcj0mO+68bD2buwp/T3OqakhjUUK6txZhGIUElPIY5Wlj27QfUcR1rRQnGcd6L4GZsrlXLdkiMljYIAk0OHyzu1YY3yO4NBPidw6ykTsjBZk8DkK5zeIrJp2gmhU1JIJ5pAw6pHNtzuDuc7Zw2cFU6zWQsjuRXxLnRaKdUt+T+BmWLVfPTyyffke8dhJI8rK2rjuQUe5FNbPfm5d7IqWNm6cntLzVBCPvAvP8xJWd1st66RptFHdoiLvLBhutHDOB0CY3djs2nuII/mUrZlmG4d/EibUrzFTXZwMtVwUg0aBNqY6qOSKGV7L6r7NOrqO2+0cstu3coes6OVbjJrPYTtErY2KUYvHaaTilU+Dny9z9Z0czonNf7IDW3DdT7LhfbnfjuVVXFT3cd6z/wBLiybhvZ7nj/h4gxCV0sLNc2ieYZv+48h2pf8AlYH/ANRq664qMnjnxXh/OXwOKybnFZ5cH4v+LPxGlQyYCABAAgAQAIAEACABAC/8z6L+Gj8D8VJ9Lu95kX0Sn3UHzPov4aPwPxR6Xd7zD0Sn3UWtFh8cMfNRsDI8/ZGz2tqZlOUpb0nxH4VxjHdS4FV8z6L+Gj8D8U96Xd7zGPRKfdQfM+i/ho/A/FHpd3vMPRKfdReU8TWNa1oAa0BoA3AZAKO228skpJLCOi4dBAFdjODwVTbTxtktsvtHY4ZhO1WzrfqvA1bTCxYmsmR4xg8Mcpa1lhfZrOPqVd1WzlHLZRW0wjLCQ3aJ6KUj2h74Q534nPI/tLreSg6nVWp4TJ+m0tLWXEeqamZENWNrWDg0ADyVfKTk8tllGKisJHR7bgg7CLJKOsoPmfRfw0fgfipPpd3vMi+iU+6g+Z9F/DR+B+KPS7veYeiU+6i8p4Wxta1gDWtAaANgAyAUeTbeWSYpJYRS6cxB9DOHC41Qe8OFin9I2ro4I+rSdMsnDRzRmkjja9sDNYgG7ruP+RNku/U2ybTkJo01UUmojI0WyGQUQlkcYfFdx5tl3dI6ozvtul9JLvEdHHi8czrzDb31Re+ts+1a2t22Sd5it1H/2Q=="/>
        <xdr:cNvSpPr>
          <a:spLocks noChangeAspect="1" noChangeArrowheads="1"/>
        </xdr:cNvSpPr>
      </xdr:nvSpPr>
      <xdr:spPr bwMode="auto">
        <a:xfrm>
          <a:off x="2943225" y="2705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539750</xdr:colOff>
      <xdr:row>0</xdr:row>
      <xdr:rowOff>1</xdr:rowOff>
    </xdr:from>
    <xdr:to>
      <xdr:col>0</xdr:col>
      <xdr:colOff>2455333</xdr:colOff>
      <xdr:row>0</xdr:row>
      <xdr:rowOff>1634235</xdr:rowOff>
    </xdr:to>
    <xdr:pic>
      <xdr:nvPicPr>
        <xdr:cNvPr id="26" name="Picture 25" descr="http://www.first-lego-league.org/assets/images/1/Logo%20FLL%202015-7b721f51.png"/>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539750" y="1"/>
          <a:ext cx="1915583" cy="16342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xdr:colOff>
      <xdr:row>0</xdr:row>
      <xdr:rowOff>127000</xdr:rowOff>
    </xdr:from>
    <xdr:to>
      <xdr:col>9</xdr:col>
      <xdr:colOff>285750</xdr:colOff>
      <xdr:row>0</xdr:row>
      <xdr:rowOff>571500</xdr:rowOff>
    </xdr:to>
    <xdr:sp macro="" textlink="">
      <xdr:nvSpPr>
        <xdr:cNvPr id="23" name="TextBox 22"/>
        <xdr:cNvSpPr txBox="1"/>
      </xdr:nvSpPr>
      <xdr:spPr>
        <a:xfrm>
          <a:off x="7786687" y="127000"/>
          <a:ext cx="3702844" cy="444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ourier New" panose="02070309020205020404" pitchFamily="49" charset="0"/>
              <a:cs typeface="Courier New" panose="02070309020205020404" pitchFamily="49" charset="0"/>
            </a:rPr>
            <a:t>Version 5.0</a:t>
          </a:r>
        </a:p>
        <a:p>
          <a:r>
            <a:rPr lang="en-US" sz="1100">
              <a:latin typeface="Courier New" panose="02070309020205020404" pitchFamily="49" charset="0"/>
              <a:cs typeface="Courier New" panose="02070309020205020404" pitchFamily="49" charset="0"/>
            </a:rPr>
            <a:t>Last updated: 9/29/2015, 3:45 PM (PST)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bit.ly/TrashTrek" TargetMode="External"/><Relationship Id="rId7" Type="http://schemas.openxmlformats.org/officeDocument/2006/relationships/vmlDrawing" Target="../drawings/vmlDrawing1.vml"/><Relationship Id="rId2" Type="http://schemas.openxmlformats.org/officeDocument/2006/relationships/hyperlink" Target="https://docs.google.com/forms/d/1Rff412d3Bj-dCmk_tu85cFTioVLL5cbKdVD80SBI1bg/viewform" TargetMode="External"/><Relationship Id="rId1" Type="http://schemas.openxmlformats.org/officeDocument/2006/relationships/hyperlink" Target="http://bit.ly/TrashTrekOnline"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bit.ly/TrashTrek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I93"/>
  <sheetViews>
    <sheetView tabSelected="1" zoomScale="80" zoomScaleNormal="80" workbookViewId="0">
      <selection activeCell="H11" sqref="H11"/>
    </sheetView>
  </sheetViews>
  <sheetFormatPr defaultRowHeight="15" x14ac:dyDescent="0.25"/>
  <cols>
    <col min="1" max="1" width="44.140625" style="1" customWidth="1"/>
    <col min="2" max="2" width="25.5703125" style="1" customWidth="1"/>
    <col min="3" max="3" width="13.42578125" style="1" customWidth="1"/>
    <col min="4" max="4" width="14.42578125" style="1" customWidth="1"/>
    <col min="5" max="6" width="9.140625" style="1"/>
    <col min="7" max="7" width="20.7109375" style="1" customWidth="1"/>
    <col min="8" max="8" width="22.5703125" style="1" customWidth="1"/>
    <col min="9" max="16384" width="9.140625" style="1"/>
  </cols>
  <sheetData>
    <row r="1" spans="1:9" ht="138" customHeight="1" x14ac:dyDescent="0.25">
      <c r="D1" s="24" t="s">
        <v>55</v>
      </c>
      <c r="G1" s="23" t="s">
        <v>64</v>
      </c>
      <c r="H1" s="23" t="s">
        <v>63</v>
      </c>
      <c r="I1" s="23" t="s">
        <v>54</v>
      </c>
    </row>
    <row r="2" spans="1:9" ht="46.5" x14ac:dyDescent="0.35">
      <c r="C2" s="15" t="s">
        <v>35</v>
      </c>
      <c r="D2" s="16">
        <f>SUM(C12,C17,C22,D28,D29,D31,D32,D33,C38,C43,D49,D50,D51,C57,C62,C67,C72,C77,C81)</f>
        <v>0</v>
      </c>
    </row>
    <row r="3" spans="1:9" x14ac:dyDescent="0.25">
      <c r="H3" s="17"/>
    </row>
    <row r="5" spans="1:9" ht="6" customHeight="1" x14ac:dyDescent="0.3">
      <c r="A5" s="6"/>
    </row>
    <row r="6" spans="1:9" ht="3.75" customHeight="1" x14ac:dyDescent="0.3">
      <c r="A6" s="7"/>
      <c r="B6"/>
    </row>
    <row r="7" spans="1:9" ht="4.5" customHeight="1" x14ac:dyDescent="0.3">
      <c r="A7" s="7"/>
      <c r="B7" s="3"/>
    </row>
    <row r="8" spans="1:9" ht="7.5" customHeight="1" x14ac:dyDescent="0.3">
      <c r="A8" s="7"/>
    </row>
    <row r="9" spans="1:9" ht="18" x14ac:dyDescent="0.3">
      <c r="A9" s="7"/>
    </row>
    <row r="10" spans="1:9" ht="18" x14ac:dyDescent="0.3">
      <c r="A10" s="6" t="s">
        <v>0</v>
      </c>
    </row>
    <row r="11" spans="1:9" ht="72" x14ac:dyDescent="0.3">
      <c r="A11" s="7" t="s">
        <v>1</v>
      </c>
      <c r="B11" s="1" t="s">
        <v>47</v>
      </c>
    </row>
    <row r="12" spans="1:9" ht="18" x14ac:dyDescent="0.3">
      <c r="A12" s="7"/>
      <c r="B12" s="14"/>
      <c r="C12" s="13">
        <f>B12*60</f>
        <v>0</v>
      </c>
      <c r="D12" s="22" t="s">
        <v>48</v>
      </c>
    </row>
    <row r="13" spans="1:9" ht="18" x14ac:dyDescent="0.3">
      <c r="A13" s="7"/>
      <c r="C13" s="11"/>
    </row>
    <row r="14" spans="1:9" ht="18" x14ac:dyDescent="0.3">
      <c r="A14" s="7"/>
      <c r="C14" s="11"/>
    </row>
    <row r="15" spans="1:9" ht="18" x14ac:dyDescent="0.3">
      <c r="A15" s="6" t="s">
        <v>2</v>
      </c>
      <c r="C15" s="11"/>
    </row>
    <row r="16" spans="1:9" ht="54" x14ac:dyDescent="0.3">
      <c r="A16" s="7" t="s">
        <v>3</v>
      </c>
      <c r="B16" s="1" t="s">
        <v>49</v>
      </c>
      <c r="C16" s="11"/>
    </row>
    <row r="17" spans="1:4" ht="18" x14ac:dyDescent="0.3">
      <c r="A17" s="7"/>
      <c r="B17" s="14"/>
      <c r="C17" s="10">
        <f>B17*40</f>
        <v>0</v>
      </c>
    </row>
    <row r="18" spans="1:4" ht="18" x14ac:dyDescent="0.3">
      <c r="A18" s="7"/>
    </row>
    <row r="19" spans="1:4" ht="18" x14ac:dyDescent="0.3">
      <c r="A19" s="7"/>
    </row>
    <row r="20" spans="1:4" ht="18" x14ac:dyDescent="0.3">
      <c r="A20" s="6" t="s">
        <v>7</v>
      </c>
    </row>
    <row r="21" spans="1:4" ht="54" x14ac:dyDescent="0.3">
      <c r="A21" s="7" t="s">
        <v>4</v>
      </c>
      <c r="B21" s="1" t="s">
        <v>24</v>
      </c>
    </row>
    <row r="22" spans="1:4" ht="18" x14ac:dyDescent="0.3">
      <c r="A22" s="7"/>
      <c r="B22" s="14"/>
      <c r="C22" s="12" t="str">
        <f>IF(B22="Truck supports weight.",50,IF(B22="Yellow Bin east of guide.",60,IF(B22="both",110,IF(B22="none",0,"0"))))</f>
        <v>0</v>
      </c>
    </row>
    <row r="23" spans="1:4" ht="18" x14ac:dyDescent="0.3">
      <c r="A23" s="7"/>
    </row>
    <row r="24" spans="1:4" ht="18" x14ac:dyDescent="0.3">
      <c r="A24" s="7"/>
    </row>
    <row r="25" spans="1:4" ht="18" x14ac:dyDescent="0.3">
      <c r="A25" s="6" t="s">
        <v>8</v>
      </c>
    </row>
    <row r="26" spans="1:4" x14ac:dyDescent="0.25">
      <c r="A26" s="5" t="s">
        <v>10</v>
      </c>
    </row>
    <row r="27" spans="1:4" ht="45" x14ac:dyDescent="0.25">
      <c r="B27" s="1" t="s">
        <v>59</v>
      </c>
      <c r="C27" s="1" t="s">
        <v>9</v>
      </c>
    </row>
    <row r="28" spans="1:4" ht="30" x14ac:dyDescent="0.25">
      <c r="B28" s="1" t="s">
        <v>60</v>
      </c>
      <c r="C28" s="14"/>
      <c r="D28" s="10">
        <f>C28*7</f>
        <v>0</v>
      </c>
    </row>
    <row r="29" spans="1:4" ht="30" x14ac:dyDescent="0.25">
      <c r="B29" s="1" t="s">
        <v>61</v>
      </c>
      <c r="C29" s="14"/>
      <c r="D29" s="10">
        <f>C29*6</f>
        <v>0</v>
      </c>
    </row>
    <row r="30" spans="1:4" x14ac:dyDescent="0.25">
      <c r="A30" s="5" t="s">
        <v>11</v>
      </c>
    </row>
    <row r="31" spans="1:4" ht="45" x14ac:dyDescent="0.25">
      <c r="B31" s="1" t="s">
        <v>40</v>
      </c>
      <c r="C31" s="14"/>
      <c r="D31" s="10">
        <f>C31*8</f>
        <v>0</v>
      </c>
    </row>
    <row r="32" spans="1:4" ht="30" x14ac:dyDescent="0.25">
      <c r="B32" s="1" t="s">
        <v>12</v>
      </c>
      <c r="C32" s="14"/>
      <c r="D32" s="10">
        <f>C32*3</f>
        <v>0</v>
      </c>
    </row>
    <row r="33" spans="1:4" x14ac:dyDescent="0.25">
      <c r="B33" s="1" t="s">
        <v>13</v>
      </c>
      <c r="C33" s="14"/>
      <c r="D33" s="10">
        <f>C33*-8</f>
        <v>0</v>
      </c>
    </row>
    <row r="36" spans="1:4" ht="18" x14ac:dyDescent="0.3">
      <c r="A36" s="6" t="s">
        <v>14</v>
      </c>
    </row>
    <row r="37" spans="1:4" ht="36" x14ac:dyDescent="0.3">
      <c r="A37" s="7" t="s">
        <v>41</v>
      </c>
      <c r="B37" s="1" t="s">
        <v>50</v>
      </c>
    </row>
    <row r="38" spans="1:4" x14ac:dyDescent="0.25">
      <c r="B38" s="14"/>
      <c r="C38" s="12" t="str">
        <f>IF(B38="Yes",60,IF(B38="No",0,"0"))</f>
        <v>0</v>
      </c>
    </row>
    <row r="41" spans="1:4" ht="18" x14ac:dyDescent="0.3">
      <c r="A41" s="6" t="s">
        <v>19</v>
      </c>
    </row>
    <row r="42" spans="1:4" ht="90" x14ac:dyDescent="0.3">
      <c r="A42" s="7" t="s">
        <v>20</v>
      </c>
      <c r="B42" s="1" t="s">
        <v>24</v>
      </c>
    </row>
    <row r="43" spans="1:4" x14ac:dyDescent="0.25">
      <c r="B43" s="14"/>
      <c r="C43" s="12" t="str">
        <f>IF(B43="Engine/Windshield installed",65,IF(B43="Car is folded and in east transfer",50,"0"))</f>
        <v>0</v>
      </c>
    </row>
    <row r="46" spans="1:4" ht="18" x14ac:dyDescent="0.3">
      <c r="A46" s="6" t="s">
        <v>22</v>
      </c>
    </row>
    <row r="47" spans="1:4" x14ac:dyDescent="0.25">
      <c r="A47" s="8" t="s">
        <v>23</v>
      </c>
    </row>
    <row r="48" spans="1:4" x14ac:dyDescent="0.25">
      <c r="D48" s="11"/>
    </row>
    <row r="49" spans="1:4" ht="30" x14ac:dyDescent="0.25">
      <c r="B49" s="1" t="s">
        <v>51</v>
      </c>
      <c r="C49" s="14"/>
      <c r="D49" s="10">
        <f>C49*30</f>
        <v>0</v>
      </c>
    </row>
    <row r="50" spans="1:4" ht="45" x14ac:dyDescent="0.25">
      <c r="B50" s="1" t="s">
        <v>52</v>
      </c>
      <c r="C50" s="14"/>
      <c r="D50" s="10">
        <f>C50*20</f>
        <v>0</v>
      </c>
    </row>
    <row r="51" spans="1:4" ht="30" x14ac:dyDescent="0.25">
      <c r="A51" s="5"/>
      <c r="B51" s="1" t="s">
        <v>53</v>
      </c>
      <c r="C51" s="14"/>
      <c r="D51" s="12" t="str">
        <f>IF(C51="Yes",35,IF(C51="No",0,"0"))</f>
        <v>0</v>
      </c>
    </row>
    <row r="54" spans="1:4" ht="18" x14ac:dyDescent="0.3">
      <c r="A54" s="6" t="s">
        <v>25</v>
      </c>
    </row>
    <row r="55" spans="1:4" ht="30" x14ac:dyDescent="0.25">
      <c r="A55" s="9" t="s">
        <v>26</v>
      </c>
    </row>
    <row r="56" spans="1:4" x14ac:dyDescent="0.25">
      <c r="B56" s="1" t="s">
        <v>24</v>
      </c>
    </row>
    <row r="57" spans="1:4" x14ac:dyDescent="0.25">
      <c r="A57" s="5"/>
      <c r="B57" s="14"/>
      <c r="C57" s="12" t="str">
        <f>IF(B57="Ejected",60,IF(B57="Ejected + In Safety",80,"0"))</f>
        <v>0</v>
      </c>
    </row>
    <row r="60" spans="1:4" ht="18" x14ac:dyDescent="0.3">
      <c r="A60" s="6" t="s">
        <v>29</v>
      </c>
    </row>
    <row r="61" spans="1:4" ht="18" x14ac:dyDescent="0.3">
      <c r="A61" s="7" t="s">
        <v>30</v>
      </c>
      <c r="B61" s="1" t="s">
        <v>50</v>
      </c>
    </row>
    <row r="62" spans="1:4" x14ac:dyDescent="0.25">
      <c r="B62" s="14"/>
      <c r="C62" s="12" t="str">
        <f>IF(B62="Yes",60,IF(B62="No",0,"0"))</f>
        <v>0</v>
      </c>
    </row>
    <row r="65" spans="1:3" ht="18" x14ac:dyDescent="0.3">
      <c r="A65" s="6" t="s">
        <v>32</v>
      </c>
    </row>
    <row r="66" spans="1:3" ht="36" x14ac:dyDescent="0.3">
      <c r="A66" s="7" t="s">
        <v>31</v>
      </c>
      <c r="B66" s="1" t="s">
        <v>50</v>
      </c>
    </row>
    <row r="67" spans="1:3" x14ac:dyDescent="0.25">
      <c r="B67" s="14"/>
      <c r="C67" s="12" t="str">
        <f>IF(B67="Yes",85,IF(B67="No",0,"0"))</f>
        <v>0</v>
      </c>
    </row>
    <row r="70" spans="1:3" ht="18" x14ac:dyDescent="0.3">
      <c r="A70" s="6" t="s">
        <v>36</v>
      </c>
    </row>
    <row r="71" spans="1:3" ht="30.75" x14ac:dyDescent="0.3">
      <c r="A71" s="7" t="s">
        <v>37</v>
      </c>
      <c r="B71" s="1" t="s">
        <v>56</v>
      </c>
    </row>
    <row r="72" spans="1:3" x14ac:dyDescent="0.25">
      <c r="B72" s="14"/>
      <c r="C72" s="12">
        <f>B72*40</f>
        <v>0</v>
      </c>
    </row>
    <row r="75" spans="1:3" ht="18" x14ac:dyDescent="0.3">
      <c r="A75" s="6" t="s">
        <v>33</v>
      </c>
    </row>
    <row r="76" spans="1:3" ht="72" x14ac:dyDescent="0.3">
      <c r="A76" s="7" t="s">
        <v>34</v>
      </c>
      <c r="B76" s="1" t="s">
        <v>50</v>
      </c>
    </row>
    <row r="77" spans="1:3" x14ac:dyDescent="0.25">
      <c r="B77" s="14"/>
      <c r="C77" s="12" t="str">
        <f>IF(B77="Yes",40,IF(B77="No",0,"0"))</f>
        <v>0</v>
      </c>
    </row>
    <row r="80" spans="1:3" ht="18" x14ac:dyDescent="0.3">
      <c r="A80" s="6" t="s">
        <v>38</v>
      </c>
      <c r="B80" s="1" t="s">
        <v>57</v>
      </c>
    </row>
    <row r="81" spans="1:3" ht="18" x14ac:dyDescent="0.3">
      <c r="A81" s="7" t="s">
        <v>39</v>
      </c>
      <c r="B81" s="14"/>
      <c r="C81" s="12">
        <f>B81*-8</f>
        <v>0</v>
      </c>
    </row>
    <row r="82" spans="1:3" ht="64.5" x14ac:dyDescent="0.25">
      <c r="A82" s="25" t="s">
        <v>58</v>
      </c>
    </row>
    <row r="85" spans="1:3" ht="15.75" x14ac:dyDescent="0.25">
      <c r="A85" s="27" t="s">
        <v>62</v>
      </c>
    </row>
    <row r="86" spans="1:3" ht="18.75" x14ac:dyDescent="0.3">
      <c r="A86" s="18" t="s">
        <v>42</v>
      </c>
    </row>
    <row r="87" spans="1:3" ht="18.75" x14ac:dyDescent="0.3">
      <c r="A87" s="18"/>
    </row>
    <row r="88" spans="1:3" ht="18.75" x14ac:dyDescent="0.3">
      <c r="A88" s="18"/>
    </row>
    <row r="89" spans="1:3" ht="64.5" x14ac:dyDescent="0.25">
      <c r="A89" s="19" t="s">
        <v>43</v>
      </c>
    </row>
    <row r="90" spans="1:3" x14ac:dyDescent="0.25">
      <c r="A90" s="20"/>
    </row>
    <row r="91" spans="1:3" ht="51.75" x14ac:dyDescent="0.25">
      <c r="A91" s="19" t="s">
        <v>44</v>
      </c>
    </row>
    <row r="92" spans="1:3" x14ac:dyDescent="0.25">
      <c r="A92" s="20"/>
    </row>
    <row r="93" spans="1:3" ht="64.5" x14ac:dyDescent="0.25">
      <c r="A93" s="21" t="s">
        <v>45</v>
      </c>
    </row>
  </sheetData>
  <sheetProtection algorithmName="SHA-512" hashValue="juturiFwEMMa4Vuq5WvIlTAmwwN+904bva6EirO3rKHewmpy5qJ1OSiOV7QPnTLFMknoUzXA7lj6eCpSFbasjQ==" saltValue="TOZvmBs4evGC9ADemLFPWw==" spinCount="100000" sheet="1" objects="1" scenarios="1"/>
  <dataValidations disablePrompts="1" count="2">
    <dataValidation type="whole" allowBlank="1" showInputMessage="1" showErrorMessage="1" sqref="B12">
      <formula1>0</formula1>
      <formula2>4</formula2>
    </dataValidation>
    <dataValidation type="whole" allowBlank="1" showInputMessage="1" showErrorMessage="1" sqref="B17 C49">
      <formula1>0</formula1>
      <formula2>2</formula2>
    </dataValidation>
  </dataValidations>
  <hyperlinks>
    <hyperlink ref="I1" r:id="rId1"/>
    <hyperlink ref="D1" r:id="rId2"/>
    <hyperlink ref="G1" r:id="rId3"/>
    <hyperlink ref="H1" r:id="rId4"/>
  </hyperlinks>
  <pageMargins left="0.7" right="0.7" top="0.75" bottom="0.75" header="0.3" footer="0.3"/>
  <pageSetup orientation="portrait" horizontalDpi="200" verticalDpi="200" copies="0" r:id="rId5"/>
  <drawing r:id="rId6"/>
  <legacyDrawing r:id="rId7"/>
  <mc:AlternateContent xmlns:mc="http://schemas.openxmlformats.org/markup-compatibility/2006">
    <mc:Choice Requires="x14">
      <controls>
        <mc:AlternateContent xmlns:mc="http://schemas.openxmlformats.org/markup-compatibility/2006">
          <mc:Choice Requires="x14">
            <control shapeId="4113" r:id="rId8" name="Button 17">
              <controlPr defaultSize="0" print="0" autoFill="0" autoPict="0" macro="[0]!ResetButton">
                <anchor moveWithCells="1" sizeWithCells="1">
                  <from>
                    <xdr:col>4</xdr:col>
                    <xdr:colOff>381000</xdr:colOff>
                    <xdr:row>1</xdr:row>
                    <xdr:rowOff>152400</xdr:rowOff>
                  </from>
                  <to>
                    <xdr:col>7</xdr:col>
                    <xdr:colOff>409575</xdr:colOff>
                    <xdr:row>2</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4">
        <x14:dataValidation type="list" allowBlank="1" showInputMessage="1" showErrorMessage="1">
          <x14:formula1>
            <xm:f>Formulas!$A$1:$A$4</xm:f>
          </x14:formula1>
          <xm:sqref>B22</xm:sqref>
        </x14:dataValidation>
        <x14:dataValidation type="list" allowBlank="1" showInputMessage="1" showErrorMessage="1">
          <x14:formula1>
            <xm:f>Formulas!$E$1:$E$2</xm:f>
          </x14:formula1>
          <xm:sqref>B38 C51 B62 B67 B77</xm:sqref>
        </x14:dataValidation>
        <x14:dataValidation type="list" allowBlank="1" showInputMessage="1" showErrorMessage="1">
          <x14:formula1>
            <xm:f>Formulas!$D$5:$D$7</xm:f>
          </x14:formula1>
          <xm:sqref>B43</xm:sqref>
        </x14:dataValidation>
        <x14:dataValidation type="list" allowBlank="1" showInputMessage="1" showErrorMessage="1">
          <x14:formula1>
            <xm:f>Formulas!$A$6:$A$7</xm:f>
          </x14:formula1>
          <xm:sqref>B57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1"/>
  <sheetViews>
    <sheetView workbookViewId="0">
      <selection activeCell="C18" sqref="C18"/>
    </sheetView>
  </sheetViews>
  <sheetFormatPr defaultRowHeight="15" x14ac:dyDescent="0.25"/>
  <cols>
    <col min="1" max="16384" width="9.140625" style="2"/>
  </cols>
  <sheetData>
    <row r="1" spans="1:5" x14ac:dyDescent="0.25">
      <c r="A1" s="4" t="s">
        <v>15</v>
      </c>
      <c r="E1" s="2" t="s">
        <v>17</v>
      </c>
    </row>
    <row r="2" spans="1:5" x14ac:dyDescent="0.25">
      <c r="A2" s="2" t="s">
        <v>16</v>
      </c>
      <c r="E2" s="2" t="s">
        <v>18</v>
      </c>
    </row>
    <row r="3" spans="1:5" x14ac:dyDescent="0.25">
      <c r="A3" s="2" t="s">
        <v>5</v>
      </c>
    </row>
    <row r="4" spans="1:5" x14ac:dyDescent="0.25">
      <c r="A4" s="2" t="s">
        <v>6</v>
      </c>
    </row>
    <row r="5" spans="1:5" x14ac:dyDescent="0.25">
      <c r="D5" s="2" t="s">
        <v>46</v>
      </c>
    </row>
    <row r="6" spans="1:5" x14ac:dyDescent="0.25">
      <c r="A6" s="2" t="s">
        <v>27</v>
      </c>
      <c r="D6" s="2" t="s">
        <v>21</v>
      </c>
    </row>
    <row r="7" spans="1:5" x14ac:dyDescent="0.25">
      <c r="A7" s="2" t="s">
        <v>28</v>
      </c>
      <c r="D7" s="2" t="s">
        <v>6</v>
      </c>
    </row>
    <row r="11" spans="1:5" x14ac:dyDescent="0.25">
      <c r="C11" s="26"/>
    </row>
  </sheetData>
  <sheetProtection algorithmName="SHA-512" hashValue="c3evGG92y0ysbLSTFpRPGBR5ZyzK82m7tiNqZeUn9ufWN6Xkwy2Io1RqQD5CGlxO5XS2ztKSKNg0BPgSTPkzqA==" saltValue="KIBDjz+NLg8MfqlUwL6tHw==" spinCount="100000" sheet="1" objects="1" scenarios="1"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Score</vt:lpstr>
      <vt:lpstr>Formulas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Jared Hasen-Klein</dc:creator>
  <cp:lastModifiedBy>Jared Hasen-Klein</cp:lastModifiedBy>
  <dcterms:created xsi:type="dcterms:W3CDTF">2015-08-23T05:27:17Z</dcterms:created>
  <dcterms:modified xsi:type="dcterms:W3CDTF">2015-09-29T22:54:40Z</dcterms:modified>
</cp:coreProperties>
</file>